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2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<sst xmlns="http://schemas.openxmlformats.org/spreadsheetml/2006/main" count="21" uniqueCount="21">
  <si>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测试用例</t>
  </si>
  <si>
    <t>CO+ B105SP3</t>
  </si>
  <si>
    <t>iPhone 17 Pro Max iOS 26.0</t>
  </si>
  <si>
    <t>appleh16camerad</t>
  </si>
  <si>
    <t>Camera</t>
  </si>
  <si>
    <t>cameracaptured</t>
  </si>
  <si>
    <t>CameraOverlayAngel</t>
  </si>
  <si>
    <t>kernel</t>
  </si>
  <si>
    <t>带kernel内存</t>
  </si>
  <si>
    <r>
      <t>1x</t>
    </r>
    <r>
      <rPr>
        <sz val="12"/>
        <color rgb="FF000000"/>
        <rFont val="pingfang tc"/>
        <charset val="134"/>
      </rPr>
      <t>拍照</t>
    </r>
  </si>
  <si>
    <r>
      <t>1x</t>
    </r>
    <r>
      <rPr>
        <sz val="12"/>
        <color rgb="FF000000"/>
        <rFont val="pingfang tc"/>
        <charset val="134"/>
      </rPr>
      <t>前置拍照</t>
    </r>
  </si>
  <si>
    <r>
      <t>1x</t>
    </r>
    <r>
      <rPr>
        <sz val="12"/>
        <color rgb="FF000000"/>
        <rFont val="pingfang tc"/>
        <charset val="134"/>
      </rPr>
      <t>人像</t>
    </r>
  </si>
  <si>
    <r>
      <t>1x</t>
    </r>
    <r>
      <rPr>
        <sz val="12"/>
        <color rgb="FF000000"/>
        <rFont val="pingfang tc"/>
        <charset val="134"/>
      </rPr>
      <t>前置人像</t>
    </r>
  </si>
  <si>
    <r>
      <t>1x</t>
    </r>
    <r>
      <rPr>
        <sz val="12"/>
        <color rgb="FF000000"/>
        <rFont val="pingfang tc"/>
        <charset val="134"/>
      </rPr>
      <t>拍照</t>
    </r>
    <r>
      <rPr>
        <sz val="12"/>
        <color rgb="FF000000"/>
        <rFont val="宋体"/>
        <charset val="134"/>
        <scheme val="minor"/>
      </rPr>
      <t>-</t>
    </r>
    <r>
      <rPr>
        <sz val="12"/>
        <color rgb="FF000000"/>
        <rFont val="pingfang tc"/>
        <charset val="134"/>
      </rPr>
      <t>点击屏幕</t>
    </r>
    <r>
      <rPr>
        <sz val="12"/>
        <color rgb="FF000000"/>
        <rFont val="宋体"/>
        <charset val="134"/>
        <scheme val="minor"/>
      </rPr>
      <t>3</t>
    </r>
    <r>
      <rPr>
        <sz val="12"/>
        <color rgb="FF000000"/>
        <rFont val="pingfang tc"/>
        <charset val="134"/>
      </rPr>
      <t>次</t>
    </r>
  </si>
  <si>
    <r>
      <t>1x</t>
    </r>
    <r>
      <rPr>
        <sz val="12"/>
        <color rgb="FF000000"/>
        <rFont val="pingfang tc"/>
        <charset val="134"/>
      </rPr>
      <t>拍照</t>
    </r>
    <r>
      <rPr>
        <sz val="12"/>
        <color rgb="FF000000"/>
        <rFont val="宋体"/>
        <charset val="134"/>
        <scheme val="minor"/>
      </rPr>
      <t>-</t>
    </r>
    <r>
      <rPr>
        <sz val="12"/>
        <color rgb="FF000000"/>
        <rFont val="pingfang tc"/>
        <charset val="134"/>
      </rPr>
      <t>动态照片</t>
    </r>
  </si>
  <si>
    <r>
      <t>1x</t>
    </r>
    <r>
      <rPr>
        <sz val="12"/>
        <color rgb="FF000000"/>
        <rFont val="pingfang tc"/>
        <charset val="134"/>
      </rPr>
      <t>拍照</t>
    </r>
    <r>
      <rPr>
        <sz val="12"/>
        <color rgb="FF000000"/>
        <rFont val="宋体"/>
        <charset val="134"/>
        <scheme val="minor"/>
      </rPr>
      <t>-</t>
    </r>
    <r>
      <rPr>
        <sz val="12"/>
        <color rgb="FF000000"/>
        <rFont val="pingfang tc"/>
        <charset val="134"/>
      </rPr>
      <t>高画质</t>
    </r>
  </si>
  <si>
    <r>
      <t>1x</t>
    </r>
    <r>
      <rPr>
        <sz val="12"/>
        <color rgb="FF000000"/>
        <rFont val="pingfang tc"/>
        <charset val="134"/>
      </rPr>
      <t>夜景</t>
    </r>
  </si>
  <si>
    <r>
      <t>1x</t>
    </r>
    <r>
      <rPr>
        <sz val="12"/>
        <color rgb="FF000000"/>
        <rFont val="pingfang tc"/>
        <charset val="134"/>
      </rPr>
      <t>专业</t>
    </r>
  </si>
  <si>
    <r>
      <t>2x</t>
    </r>
    <r>
      <rPr>
        <sz val="12"/>
        <color rgb="FF000000"/>
        <rFont val="pingfang tc"/>
        <charset val="134"/>
      </rPr>
      <t>拍照</t>
    </r>
  </si>
  <si>
    <r>
      <t>2x</t>
    </r>
    <r>
      <rPr>
        <sz val="12"/>
        <color rgb="FF000000"/>
        <rFont val="pingfang tc"/>
        <charset val="134"/>
      </rPr>
      <t>拍照</t>
    </r>
    <r>
      <rPr>
        <sz val="12"/>
        <color rgb="FF000000"/>
        <rFont val="宋体"/>
        <charset val="134"/>
        <scheme val="minor"/>
      </rPr>
      <t>-</t>
    </r>
    <r>
      <rPr>
        <sz val="12"/>
        <color rgb="FF000000"/>
        <rFont val="pingfang tc"/>
        <charset val="134"/>
      </rPr>
      <t>高画质</t>
    </r>
  </si>
  <si>
    <r>
      <t>4x</t>
    </r>
    <r>
      <rPr>
        <sz val="12"/>
        <color rgb="FF000000"/>
        <rFont val="pingfang tc"/>
        <charset val="134"/>
      </rPr>
      <t>拍照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</si>
</sst>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pingfang tc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zoomScale="90" zoomScaleNormal="90" workbookViewId="0">
      <selection activeCell="G16" sqref="G16"/>
    </sheetView>
  </sheetViews>
  <sheetFormatPr defaultColWidth="9.23076923076923" defaultRowHeight="16.8"/>
  <cols>
    <col min="1" max="1" width="36.2211538461538" customWidth="1"/>
    <col min="2" max="2" width="26.7019230769231" customWidth="1"/>
    <col min="3" max="3" width="34.1730769230769" customWidth="1"/>
    <col min="4" max="9" width="26.3461538461538" customWidth="1"/>
  </cols>
  <sheetData>
    <row r="1" ht="2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.4" spans="1:9">
      <c r="A2" s="2" t="s">
        <v>9</v>
      </c>
      <c r="B2" s="3">
        <v>2619</v>
      </c>
      <c r="C2" s="4">
        <f>D2+E2+F2+G2</f>
        <v>1971.01</v>
      </c>
      <c r="D2" s="4">
        <v>61.03</v>
      </c>
      <c r="E2" s="4">
        <v>29.2</v>
      </c>
      <c r="F2" s="4">
        <f>1.83*1024</f>
        <v>1873.92</v>
      </c>
      <c r="G2" s="4">
        <v>6.86</v>
      </c>
      <c r="H2" s="4">
        <v>539.77</v>
      </c>
      <c r="I2" s="4">
        <f>C2+H2</f>
        <v>2510.78</v>
      </c>
    </row>
    <row r="3" ht="20.4" spans="1:9">
      <c r="A3" s="2" t="s">
        <v>10</v>
      </c>
      <c r="B3" s="3">
        <v>2276</v>
      </c>
      <c r="C3" s="4">
        <f t="shared" ref="C3:C13" si="0">D3+E3+F3+G3</f>
        <v>1963.79</v>
      </c>
      <c r="D3" s="4">
        <v>85.03</v>
      </c>
      <c r="E3" s="4">
        <v>28.7</v>
      </c>
      <c r="F3" s="4">
        <f>1.8*1024</f>
        <v>1843.2</v>
      </c>
      <c r="G3" s="4">
        <v>6.86</v>
      </c>
      <c r="H3" s="4">
        <v>492.14</v>
      </c>
      <c r="I3" s="4">
        <f t="shared" ref="I3:I13" si="1">C3+H3</f>
        <v>2455.93</v>
      </c>
    </row>
    <row r="4" ht="20.4" spans="1:9">
      <c r="A4" s="2" t="s">
        <v>11</v>
      </c>
      <c r="B4" s="3">
        <v>2722</v>
      </c>
      <c r="C4" s="4">
        <f t="shared" si="0"/>
        <v>2176</v>
      </c>
      <c r="D4" s="4">
        <v>61.14</v>
      </c>
      <c r="E4" s="4">
        <v>37.97</v>
      </c>
      <c r="F4" s="4">
        <f>2.02*1024</f>
        <v>2068.48</v>
      </c>
      <c r="G4" s="4">
        <v>8.41</v>
      </c>
      <c r="H4" s="4">
        <v>541.55</v>
      </c>
      <c r="I4" s="4">
        <f t="shared" si="1"/>
        <v>2717.55</v>
      </c>
    </row>
    <row r="5" ht="20.4" spans="1:9">
      <c r="A5" s="2" t="s">
        <v>12</v>
      </c>
      <c r="B5" s="3">
        <v>2661</v>
      </c>
      <c r="C5" s="4">
        <f t="shared" si="0"/>
        <v>1857.29</v>
      </c>
      <c r="D5" s="4">
        <v>69.39</v>
      </c>
      <c r="E5" s="4">
        <v>38.77</v>
      </c>
      <c r="F5" s="4">
        <f>1.7*1024</f>
        <v>1740.8</v>
      </c>
      <c r="G5" s="4">
        <v>8.33</v>
      </c>
      <c r="H5" s="4">
        <v>424.64</v>
      </c>
      <c r="I5" s="4">
        <f t="shared" si="1"/>
        <v>2281.93</v>
      </c>
    </row>
    <row r="6" ht="20.4" spans="1:9">
      <c r="A6" s="2" t="s">
        <v>13</v>
      </c>
      <c r="B6" s="3">
        <v>2629</v>
      </c>
      <c r="C6" s="4">
        <f t="shared" si="0"/>
        <v>1931.29</v>
      </c>
      <c r="D6" s="5">
        <v>61.19</v>
      </c>
      <c r="E6" s="5">
        <v>28.83</v>
      </c>
      <c r="F6" s="5">
        <f>1.79*1024</f>
        <v>1832.96</v>
      </c>
      <c r="G6" s="5">
        <v>8.31</v>
      </c>
      <c r="H6" s="5">
        <v>574.16</v>
      </c>
      <c r="I6" s="4">
        <f t="shared" si="1"/>
        <v>2505.45</v>
      </c>
    </row>
    <row r="7" ht="20.4" spans="1:9">
      <c r="A7" s="2" t="s">
        <v>14</v>
      </c>
      <c r="B7" s="3">
        <v>2577</v>
      </c>
      <c r="C7" s="4">
        <f t="shared" si="0"/>
        <v>2290.6</v>
      </c>
      <c r="D7" s="5">
        <v>61.27</v>
      </c>
      <c r="E7" s="5">
        <v>29.61</v>
      </c>
      <c r="F7" s="5">
        <f>2.14*1024</f>
        <v>2191.36</v>
      </c>
      <c r="G7" s="5">
        <v>8.36</v>
      </c>
      <c r="H7" s="5">
        <v>542.12</v>
      </c>
      <c r="I7" s="4">
        <f t="shared" si="1"/>
        <v>2832.72</v>
      </c>
    </row>
    <row r="8" ht="20.4" spans="1:9">
      <c r="A8" s="2" t="s">
        <v>15</v>
      </c>
      <c r="B8" s="3">
        <v>2654</v>
      </c>
      <c r="C8" s="4">
        <f t="shared" si="0"/>
        <v>2094.81</v>
      </c>
      <c r="D8" s="5">
        <v>61.25</v>
      </c>
      <c r="E8" s="5">
        <v>28.38</v>
      </c>
      <c r="F8" s="5">
        <f>1.95*1024</f>
        <v>1996.8</v>
      </c>
      <c r="G8" s="5">
        <v>8.38</v>
      </c>
      <c r="H8" s="5">
        <v>574.55</v>
      </c>
      <c r="I8" s="4">
        <f t="shared" si="1"/>
        <v>2669.36</v>
      </c>
    </row>
    <row r="9" ht="20.4" spans="1:9">
      <c r="A9" s="2" t="s">
        <v>16</v>
      </c>
      <c r="B9" s="3">
        <v>2728</v>
      </c>
      <c r="C9" s="4">
        <f t="shared" si="0"/>
        <v>2065.17</v>
      </c>
      <c r="D9" s="5">
        <v>61.22</v>
      </c>
      <c r="E9" s="5">
        <v>29.59</v>
      </c>
      <c r="F9" s="5">
        <f>1.92*1024</f>
        <v>1966.08</v>
      </c>
      <c r="G9" s="5">
        <v>8.28</v>
      </c>
      <c r="H9" s="5">
        <v>574.62</v>
      </c>
      <c r="I9" s="4">
        <f t="shared" si="1"/>
        <v>2639.79</v>
      </c>
    </row>
    <row r="10" ht="20.4" spans="1:9">
      <c r="A10" s="2" t="s">
        <v>17</v>
      </c>
      <c r="B10" s="3">
        <v>2495</v>
      </c>
      <c r="C10" s="4">
        <f t="shared" si="0"/>
        <v>2024.84</v>
      </c>
      <c r="D10" s="5">
        <v>61.24</v>
      </c>
      <c r="E10" s="5">
        <v>30.17</v>
      </c>
      <c r="F10" s="5">
        <f>1.88*1024</f>
        <v>1925.12</v>
      </c>
      <c r="G10" s="5">
        <v>8.31</v>
      </c>
      <c r="H10" s="5">
        <v>566.61</v>
      </c>
      <c r="I10" s="4">
        <f t="shared" si="1"/>
        <v>2591.45</v>
      </c>
    </row>
    <row r="11" ht="20.4" spans="1:9">
      <c r="A11" s="2" t="s">
        <v>18</v>
      </c>
      <c r="B11" s="3">
        <v>2602</v>
      </c>
      <c r="C11" s="4">
        <f t="shared" si="0"/>
        <v>2288.67</v>
      </c>
      <c r="D11" s="5">
        <v>61.7</v>
      </c>
      <c r="E11" s="5">
        <v>27.16</v>
      </c>
      <c r="F11" s="5">
        <f>2.14*1024</f>
        <v>2191.36</v>
      </c>
      <c r="G11" s="5">
        <v>8.45</v>
      </c>
      <c r="H11" s="5">
        <v>574.92</v>
      </c>
      <c r="I11" s="4">
        <f t="shared" si="1"/>
        <v>2863.59</v>
      </c>
    </row>
    <row r="12" ht="20.4" spans="1:9">
      <c r="A12" s="2" t="s">
        <v>19</v>
      </c>
      <c r="B12" s="3">
        <v>2618</v>
      </c>
      <c r="C12" s="4">
        <f t="shared" si="0"/>
        <v>2197.74</v>
      </c>
      <c r="D12" s="5">
        <v>61.3</v>
      </c>
      <c r="E12" s="5">
        <v>28.8</v>
      </c>
      <c r="F12" s="5">
        <f>2.05*1024</f>
        <v>2099.2</v>
      </c>
      <c r="G12" s="5">
        <v>8.44</v>
      </c>
      <c r="H12" s="5">
        <v>574.89</v>
      </c>
      <c r="I12" s="4">
        <f t="shared" si="1"/>
        <v>2772.63</v>
      </c>
    </row>
    <row r="13" ht="20.4" spans="1:9">
      <c r="A13" s="2" t="s">
        <v>20</v>
      </c>
      <c r="B13" s="3">
        <v>2802</v>
      </c>
      <c r="C13" s="4">
        <f t="shared" si="0"/>
        <v>2278.12</v>
      </c>
      <c r="D13" s="5">
        <v>61.56</v>
      </c>
      <c r="E13" s="5">
        <v>27</v>
      </c>
      <c r="F13" s="5">
        <f>2.13*1024</f>
        <v>2181.12</v>
      </c>
      <c r="G13" s="5">
        <v>8.44</v>
      </c>
      <c r="H13" s="5">
        <v>574.89</v>
      </c>
      <c r="I13" s="4">
        <f t="shared" si="1"/>
        <v>2853.01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clover</dc:creator>
  <cp:lastModifiedBy>Shamrock</cp:lastModifiedBy>
  <dcterms:created xsi:type="dcterms:W3CDTF">2026-08-26T16:46:32Z</dcterms:created>
  <dcterms:modified xsi:type="dcterms:W3CDTF">2026-08-27T14:29:11Z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9B6CBCE094222F32E8A78E6AB9EB1AFB_41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